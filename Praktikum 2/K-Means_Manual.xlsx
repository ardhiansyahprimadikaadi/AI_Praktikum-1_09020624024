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3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824FA7B-1CA8-4B3C-B02A-A80F5A19ED61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70" i="1" l="1"/>
  <c r="H79" i="1"/>
  <c r="H70" i="1"/>
  <c r="I79" i="1"/>
  <c r="J79" i="1" s="1"/>
  <c r="O78" i="1"/>
  <c r="N78" i="1"/>
  <c r="I78" i="1"/>
  <c r="J78" i="1" s="1"/>
  <c r="H78" i="1"/>
  <c r="I77" i="1"/>
  <c r="J77" i="1" s="1"/>
  <c r="H77" i="1"/>
  <c r="O76" i="1"/>
  <c r="N76" i="1"/>
  <c r="I76" i="1"/>
  <c r="J76" i="1" s="1"/>
  <c r="H76" i="1"/>
  <c r="I75" i="1"/>
  <c r="J75" i="1" s="1"/>
  <c r="H75" i="1"/>
  <c r="I74" i="1"/>
  <c r="J74" i="1" s="1"/>
  <c r="H74" i="1"/>
  <c r="N73" i="1"/>
  <c r="J73" i="1"/>
  <c r="L73" i="1" s="1"/>
  <c r="I73" i="1"/>
  <c r="H73" i="1"/>
  <c r="I72" i="1"/>
  <c r="J72" i="1" s="1"/>
  <c r="H72" i="1"/>
  <c r="O71" i="1"/>
  <c r="N71" i="1"/>
  <c r="I71" i="1"/>
  <c r="J71" i="1" s="1"/>
  <c r="H71" i="1"/>
  <c r="I70" i="1"/>
  <c r="J70" i="1" s="1"/>
  <c r="O69" i="1"/>
  <c r="J66" i="1"/>
  <c r="I66" i="1"/>
  <c r="J65" i="1"/>
  <c r="I65" i="1"/>
  <c r="O77" i="1" s="1"/>
  <c r="J64" i="1"/>
  <c r="I64" i="1"/>
  <c r="J63" i="1"/>
  <c r="I63" i="1"/>
  <c r="O75" i="1" s="1"/>
  <c r="J62" i="1"/>
  <c r="I62" i="1"/>
  <c r="O74" i="1" s="1"/>
  <c r="J61" i="1"/>
  <c r="O73" i="1" s="1"/>
  <c r="I61" i="1"/>
  <c r="J60" i="1"/>
  <c r="I60" i="1"/>
  <c r="O72" i="1" s="1"/>
  <c r="J59" i="1"/>
  <c r="I59" i="1"/>
  <c r="J58" i="1"/>
  <c r="I58" i="1"/>
  <c r="O70" i="1" s="1"/>
  <c r="J57" i="1"/>
  <c r="I57" i="1"/>
  <c r="G54" i="1"/>
  <c r="H53" i="1"/>
  <c r="H54" i="1" s="1"/>
  <c r="G53" i="1"/>
  <c r="H44" i="1"/>
  <c r="H45" i="1" s="1"/>
  <c r="G44" i="1"/>
  <c r="G45" i="1" s="1"/>
  <c r="J35" i="1"/>
  <c r="I35" i="1"/>
  <c r="J34" i="1"/>
  <c r="I34" i="1"/>
  <c r="N77" i="1" s="1"/>
  <c r="J33" i="1"/>
  <c r="I33" i="1"/>
  <c r="J32" i="1"/>
  <c r="N75" i="1" s="1"/>
  <c r="I32" i="1"/>
  <c r="J31" i="1"/>
  <c r="I31" i="1"/>
  <c r="N74" i="1" s="1"/>
  <c r="J30" i="1"/>
  <c r="I30" i="1"/>
  <c r="J29" i="1"/>
  <c r="I29" i="1"/>
  <c r="N72" i="1" s="1"/>
  <c r="J28" i="1"/>
  <c r="I28" i="1"/>
  <c r="J27" i="1"/>
  <c r="I27" i="1"/>
  <c r="N70" i="1" s="1"/>
  <c r="J26" i="1"/>
  <c r="I26" i="1"/>
  <c r="N69" i="1" s="1"/>
  <c r="K78" i="1" l="1"/>
  <c r="L78" i="1"/>
  <c r="L72" i="1"/>
  <c r="K72" i="1"/>
  <c r="K77" i="1"/>
  <c r="L77" i="1"/>
  <c r="L74" i="1"/>
  <c r="K74" i="1"/>
  <c r="L76" i="1"/>
  <c r="K76" i="1"/>
  <c r="L70" i="1"/>
  <c r="J80" i="1"/>
  <c r="K71" i="1"/>
  <c r="L71" i="1"/>
  <c r="L75" i="1"/>
  <c r="K75" i="1"/>
  <c r="L79" i="1"/>
  <c r="K79" i="1"/>
  <c r="K73" i="1"/>
  <c r="L80" i="1" l="1"/>
  <c r="K80" i="1"/>
</calcChain>
</file>

<file path=xl/sharedStrings.xml><?xml version="1.0" encoding="utf-8"?>
<sst xmlns="http://schemas.openxmlformats.org/spreadsheetml/2006/main" count="181" uniqueCount="70">
  <si>
    <t>Dataset K Means Clustering</t>
  </si>
  <si>
    <t>Langkah Pengerjaan</t>
  </si>
  <si>
    <t>Dataset : Harga &amp; Luas Rumah (10 data, 2 atribut)</t>
  </si>
  <si>
    <t>Langkah 1 : Tentukan Jumlah Cluster (K)</t>
  </si>
  <si>
    <t>No</t>
  </si>
  <si>
    <t>X (Harga Rumah)</t>
  </si>
  <si>
    <t>Y (Luas Tanah)</t>
  </si>
  <si>
    <t>Keterangan</t>
  </si>
  <si>
    <t>Pada percobaan ini dipilih K = 2, dimana data akan dikelompokkan menjadi 2 cluster:
Cluster 1 (C1) — Rumah Tipe Sederhana (harga &amp; luas relatif kecil)
Cluster 2 (C2) — Rumah Tipe Mewah (harga &amp; luas relatif besar)</t>
  </si>
  <si>
    <t>Rp 250 Juta</t>
  </si>
  <si>
    <t>72 m²</t>
  </si>
  <si>
    <t>Rumah Tipe Sederhana</t>
  </si>
  <si>
    <t>Rp 300 Juta</t>
  </si>
  <si>
    <t>90 m²</t>
  </si>
  <si>
    <t>Rp 320 Juta</t>
  </si>
  <si>
    <t>95 m²</t>
  </si>
  <si>
    <t>Rp 280 Juta</t>
  </si>
  <si>
    <t>80 m²</t>
  </si>
  <si>
    <t>Langkah 2: Tentukan Centroid Awal</t>
  </si>
  <si>
    <t>Centroid Lama</t>
  </si>
  <si>
    <t>Rp 260 Juta</t>
  </si>
  <si>
    <t>75 m²</t>
  </si>
  <si>
    <t>Centroid awal dipilih menggunakan metode manual dengan memilih 2 titik data yang berjauhan 
C1 = (250, 72)  (Data 1 — Rp 250 Juta, 72 m²)
C2 = (500, 150)  (Data 6 — Rp 500 Juta, 150 m²)</t>
  </si>
  <si>
    <t>C1</t>
  </si>
  <si>
    <t>Rp 500 Juta</t>
  </si>
  <si>
    <t>150 m²</t>
  </si>
  <si>
    <t>Rumah Tipe Mewah</t>
  </si>
  <si>
    <t>C2</t>
  </si>
  <si>
    <t>Rp 550 Juta</t>
  </si>
  <si>
    <t>160 m²</t>
  </si>
  <si>
    <t>Rp 480 Juta</t>
  </si>
  <si>
    <t>145 m²</t>
  </si>
  <si>
    <t>Rp 520 Juta</t>
  </si>
  <si>
    <t>155 m²</t>
  </si>
  <si>
    <t>Cluster</t>
  </si>
  <si>
    <t>Rp 490 Juta</t>
  </si>
  <si>
    <t>148 m²</t>
  </si>
  <si>
    <t>Atribut</t>
  </si>
  <si>
    <t>X — Harga Rumah</t>
  </si>
  <si>
    <t>Harga jual rumah dalam satuan Juta Rupiah</t>
  </si>
  <si>
    <t>Y — Luas Tanah</t>
  </si>
  <si>
    <t>Luas tanah rumah dalam satuan  m²</t>
  </si>
  <si>
    <t>Langkah 3 : Hitung Jarak Euclidean (Iterasi 1)</t>
  </si>
  <si>
    <t>Jarak ke C1</t>
  </si>
  <si>
    <t>Jarak ke C2</t>
  </si>
  <si>
    <t xml:space="preserve">Langkah 4 : Kelompokkan Data Berdasarkan Cetroit Terdekat dan Hitung Centroid Baru </t>
  </si>
  <si>
    <t>Cluster 1</t>
  </si>
  <si>
    <t>Data</t>
  </si>
  <si>
    <t>X</t>
  </si>
  <si>
    <t>Y</t>
  </si>
  <si>
    <t>Cetroit Lama</t>
  </si>
  <si>
    <t>(250, 72)</t>
  </si>
  <si>
    <t>Jumlah</t>
  </si>
  <si>
    <t>Rata-Rata</t>
  </si>
  <si>
    <t>Cluster 2</t>
  </si>
  <si>
    <t>(500, 150)</t>
  </si>
  <si>
    <t>Langkah 5 :  Hitung Jarak Euclidean (Iterasi 2)</t>
  </si>
  <si>
    <t>Centroid Baru</t>
  </si>
  <si>
    <t>Langkah 6 : Menampilkan Evalusasi Silhoutte Scre</t>
  </si>
  <si>
    <t>Jarak Min</t>
  </si>
  <si>
    <t>Tabel Hasil SilHoutte Score</t>
  </si>
  <si>
    <t>Iterasi 1</t>
  </si>
  <si>
    <t>Iterasi 2</t>
  </si>
  <si>
    <t>a(i)</t>
  </si>
  <si>
    <t>b(i)</t>
  </si>
  <si>
    <t xml:space="preserve">s(i) </t>
  </si>
  <si>
    <t>Kategori</t>
  </si>
  <si>
    <t>Interpretasi</t>
  </si>
  <si>
    <t>Rata-Rata Silhouette Score</t>
  </si>
  <si>
    <t>Nama	: Ardhiansyah Primadika Adi
Kelas	: H6C
NIM	: 09020624024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</si>
</sst>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p&quot;#,##0.00"/>
    <numFmt numFmtId="165" formatCode="0.00;[Red]0.00"/>
  </numFmts>
  <fonts count="8" x14ac:knownFonts="1">
    <font>
      <sz val="11"/>
      <color theme="1"/>
      <name val="Calibri"/>
      <family val="2"/>
      <charset val="1"/>
    </font>
    <font>
      <b/>
      <sz val="14"/>
      <color theme="0"/>
      <name val="Times New Roman"/>
      <family val="1"/>
      <charset val="1"/>
    </font>
    <font>
      <b/>
      <sz val="12"/>
      <color theme="1"/>
      <name val="Times New Roman"/>
      <family val="1"/>
      <charset val="1"/>
    </font>
    <font>
      <b/>
      <sz val="12"/>
      <color rgb="FFFFFFFF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2"/>
      <color rgb="FF000000"/>
      <name val="Times New Roman"/>
      <family val="1"/>
      <charset val="1"/>
    </font>
    <font>
      <b/>
      <sz val="12"/>
      <color theme="0"/>
      <name val="Times New Roman"/>
      <family val="1"/>
      <charset val="1"/>
    </font>
    <font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rgb="FF203864"/>
      </patternFill>
    </fill>
    <fill>
      <patternFill patternType="solid">
        <fgColor theme="4" tint="0.59987182226020086"/>
        <bgColor rgb="FFCCCCFF"/>
      </patternFill>
    </fill>
    <fill>
      <patternFill patternType="solid">
        <fgColor theme="4" tint="-0.499984740745262"/>
        <bgColor rgb="FF333333"/>
      </patternFill>
    </fill>
    <fill>
      <patternFill patternType="solid">
        <fgColor theme="0"/>
        <bgColor rgb="FFFFFFCC"/>
      </patternFill>
    </fill>
    <fill>
      <patternFill patternType="solid">
        <fgColor theme="4" tint="0.39988402966399123"/>
        <bgColor rgb="FF969696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4" fillId="0" borderId="1" xfId="0" applyFont="1" applyBorder="1" applyAlignment="1">
      <alignment horizontal="left"/>
    </xf>
    <xf numFmtId="0" fontId="4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2" fontId="5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3" fillId="4" borderId="1" xfId="0" applyFont="1" applyFill="1" applyBorder="1" applyAlignment="1">
      <alignment horizontal="center" vertical="top" wrapText="1"/>
    </xf>
    <xf numFmtId="164" fontId="3" fillId="4" borderId="1" xfId="0" applyNumberFormat="1" applyFont="1" applyFill="1" applyBorder="1" applyAlignment="1">
      <alignment horizontal="center" vertical="top" wrapText="1"/>
    </xf>
    <xf numFmtId="2" fontId="3" fillId="4" borderId="1" xfId="0" applyNumberFormat="1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top" wrapText="1"/>
    </xf>
    <xf numFmtId="164" fontId="5" fillId="5" borderId="1" xfId="0" applyNumberFormat="1" applyFont="1" applyFill="1" applyBorder="1" applyAlignment="1">
      <alignment horizontal="center" vertical="top" wrapText="1"/>
    </xf>
    <xf numFmtId="2" fontId="5" fillId="5" borderId="1" xfId="0" applyNumberFormat="1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center" vertical="top" wrapText="1"/>
    </xf>
    <xf numFmtId="0" fontId="5" fillId="5" borderId="2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165" fontId="4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 vertical="top"/>
    </xf>
    <xf numFmtId="0" fontId="0" fillId="0" borderId="1" xfId="0" applyBorder="1"/>
    <xf numFmtId="2" fontId="4" fillId="0" borderId="1" xfId="0" applyNumberFormat="1" applyFont="1" applyBorder="1"/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/>
    </xf>
    <xf numFmtId="0" fontId="6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4" fillId="0" borderId="4" xfId="0" applyFont="1" applyBorder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/>
    </xf>
    <xf numFmtId="0" fontId="6" fillId="4" borderId="5" xfId="0" applyFont="1" applyFill="1" applyBorder="1" applyAlignment="1">
      <alignment horizontal="center"/>
    </xf>
    <xf numFmtId="0" fontId="4" fillId="0" borderId="6" xfId="0" applyFont="1" applyBorder="1"/>
    <xf numFmtId="0" fontId="2" fillId="6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7" fillId="7" borderId="2" xfId="0" applyFont="1" applyFill="1" applyBorder="1" applyAlignment="1">
      <alignment horizontal="left"/>
    </xf>
    <xf numFmtId="0" fontId="7" fillId="7" borderId="3" xfId="0" applyFont="1" applyFill="1" applyBorder="1" applyAlignment="1">
      <alignment horizontal="left"/>
    </xf>
    <xf numFmtId="0" fontId="7" fillId="7" borderId="4" xfId="0" applyFont="1" applyFill="1" applyBorder="1" applyAlignment="1">
      <alignment horizontal="left"/>
    </xf>
    <xf numFmtId="0" fontId="7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203864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80"/>
  <sheetViews>
    <sheetView tabSelected="1" zoomScale="80" zoomScaleNormal="80" workbookViewId="0">
      <selection activeCell="C32" sqref="C32"/>
    </sheetView>
  </sheetViews>
  <sheetFormatPr defaultColWidth="8.6640625" defaultRowHeight="14.4" x14ac:dyDescent="0.3"/>
  <cols>
    <col min="2" max="2" width="18.21875" customWidth="1"/>
    <col min="3" max="3" width="16.5546875" customWidth="1"/>
    <col min="4" max="4" width="23.33203125" customWidth="1"/>
    <col min="6" max="6" width="11.109375" customWidth="1"/>
    <col min="7" max="7" width="18.109375" customWidth="1"/>
    <col min="8" max="8" width="18.5546875" customWidth="1"/>
    <col min="9" max="9" width="15.33203125" customWidth="1"/>
    <col min="10" max="10" width="16.109375" customWidth="1"/>
    <col min="11" max="11" width="12.33203125" customWidth="1"/>
    <col min="12" max="12" width="19.33203125" customWidth="1"/>
    <col min="14" max="14" width="10.33203125" customWidth="1"/>
    <col min="15" max="15" width="9.77734375" customWidth="1"/>
  </cols>
  <sheetData>
    <row r="2" spans="1:15" ht="17.25" customHeight="1" x14ac:dyDescent="0.3">
      <c r="A2" s="8" t="s">
        <v>0</v>
      </c>
      <c r="B2" s="8"/>
      <c r="C2" s="8"/>
      <c r="D2" s="8"/>
      <c r="F2" s="41" t="s">
        <v>1</v>
      </c>
      <c r="G2" s="41"/>
      <c r="H2" s="41"/>
      <c r="I2" s="41"/>
      <c r="J2" s="41"/>
      <c r="K2" s="41"/>
      <c r="L2" s="41"/>
    </row>
    <row r="3" spans="1:15" ht="15" customHeight="1" x14ac:dyDescent="0.3">
      <c r="A3" s="7" t="s">
        <v>2</v>
      </c>
      <c r="B3" s="7"/>
      <c r="C3" s="7"/>
      <c r="D3" s="7"/>
      <c r="F3" s="42" t="s">
        <v>3</v>
      </c>
      <c r="G3" s="42"/>
      <c r="H3" s="42"/>
      <c r="I3" s="42"/>
      <c r="J3" s="42"/>
      <c r="K3" s="42"/>
      <c r="L3" s="42"/>
    </row>
    <row r="4" spans="1:15" ht="15.75" customHeight="1" x14ac:dyDescent="0.3">
      <c r="A4" s="9" t="s">
        <v>4</v>
      </c>
      <c r="B4" s="10" t="s">
        <v>5</v>
      </c>
      <c r="C4" s="11" t="s">
        <v>6</v>
      </c>
      <c r="D4" s="9" t="s">
        <v>7</v>
      </c>
      <c r="F4" s="43" t="s">
        <v>8</v>
      </c>
      <c r="G4" s="43"/>
      <c r="H4" s="43"/>
      <c r="I4" s="43"/>
      <c r="J4" s="43"/>
      <c r="K4" s="43"/>
      <c r="L4" s="43"/>
    </row>
    <row r="5" spans="1:15" ht="15" customHeight="1" x14ac:dyDescent="0.3">
      <c r="A5" s="12">
        <v>1</v>
      </c>
      <c r="B5" s="13" t="s">
        <v>9</v>
      </c>
      <c r="C5" s="14" t="s">
        <v>10</v>
      </c>
      <c r="D5" s="15" t="s">
        <v>11</v>
      </c>
      <c r="F5" s="43"/>
      <c r="G5" s="43"/>
      <c r="H5" s="43"/>
      <c r="I5" s="43"/>
      <c r="J5" s="43"/>
      <c r="K5" s="43"/>
      <c r="L5" s="43"/>
    </row>
    <row r="6" spans="1:15" ht="15" customHeight="1" x14ac:dyDescent="0.3">
      <c r="A6" s="12">
        <v>2</v>
      </c>
      <c r="B6" s="13" t="s">
        <v>12</v>
      </c>
      <c r="C6" s="14" t="s">
        <v>13</v>
      </c>
      <c r="D6" s="15" t="s">
        <v>11</v>
      </c>
      <c r="F6" s="43"/>
      <c r="G6" s="43"/>
      <c r="H6" s="43"/>
      <c r="I6" s="43"/>
      <c r="J6" s="43"/>
      <c r="K6" s="43"/>
      <c r="L6" s="43"/>
    </row>
    <row r="7" spans="1:15" ht="15" customHeight="1" x14ac:dyDescent="0.3">
      <c r="A7" s="12">
        <v>3</v>
      </c>
      <c r="B7" s="13" t="s">
        <v>14</v>
      </c>
      <c r="C7" s="14" t="s">
        <v>15</v>
      </c>
      <c r="D7" s="15" t="s">
        <v>11</v>
      </c>
      <c r="F7" s="43"/>
      <c r="G7" s="43"/>
      <c r="H7" s="43"/>
      <c r="I7" s="43"/>
      <c r="J7" s="43"/>
      <c r="K7" s="43"/>
      <c r="L7" s="43"/>
    </row>
    <row r="8" spans="1:15" ht="15" customHeight="1" x14ac:dyDescent="0.3">
      <c r="A8" s="12">
        <v>4</v>
      </c>
      <c r="B8" s="13" t="s">
        <v>16</v>
      </c>
      <c r="C8" s="14" t="s">
        <v>17</v>
      </c>
      <c r="D8" s="15" t="s">
        <v>11</v>
      </c>
      <c r="F8" s="44" t="s">
        <v>18</v>
      </c>
      <c r="G8" s="44"/>
      <c r="H8" s="44"/>
      <c r="I8" s="44"/>
      <c r="J8" s="44"/>
      <c r="K8" s="44"/>
      <c r="L8" s="44"/>
      <c r="M8" s="39" t="s">
        <v>19</v>
      </c>
      <c r="N8" s="6"/>
      <c r="O8" s="6"/>
    </row>
    <row r="9" spans="1:15" ht="15.75" customHeight="1" x14ac:dyDescent="0.3">
      <c r="A9" s="12">
        <v>5</v>
      </c>
      <c r="B9" s="13" t="s">
        <v>20</v>
      </c>
      <c r="C9" s="14" t="s">
        <v>21</v>
      </c>
      <c r="D9" s="15" t="s">
        <v>11</v>
      </c>
      <c r="F9" s="43" t="s">
        <v>22</v>
      </c>
      <c r="G9" s="43"/>
      <c r="H9" s="43"/>
      <c r="I9" s="43"/>
      <c r="J9" s="43"/>
      <c r="K9" s="43"/>
      <c r="L9" s="43"/>
      <c r="M9" s="40" t="s">
        <v>23</v>
      </c>
      <c r="N9" s="17">
        <v>250</v>
      </c>
      <c r="O9" s="17">
        <v>72</v>
      </c>
    </row>
    <row r="10" spans="1:15" ht="15" customHeight="1" x14ac:dyDescent="0.3">
      <c r="A10" s="12">
        <v>6</v>
      </c>
      <c r="B10" s="13" t="s">
        <v>24</v>
      </c>
      <c r="C10" s="14" t="s">
        <v>25</v>
      </c>
      <c r="D10" s="15" t="s">
        <v>26</v>
      </c>
      <c r="F10" s="43"/>
      <c r="G10" s="43"/>
      <c r="H10" s="43"/>
      <c r="I10" s="43"/>
      <c r="J10" s="43"/>
      <c r="K10" s="43"/>
      <c r="L10" s="43"/>
      <c r="M10" s="40" t="s">
        <v>27</v>
      </c>
      <c r="N10" s="17">
        <v>500</v>
      </c>
      <c r="O10" s="17">
        <v>150</v>
      </c>
    </row>
    <row r="11" spans="1:15" ht="15" customHeight="1" x14ac:dyDescent="0.3">
      <c r="A11" s="12">
        <v>7</v>
      </c>
      <c r="B11" s="13" t="s">
        <v>28</v>
      </c>
      <c r="C11" s="14" t="s">
        <v>29</v>
      </c>
      <c r="D11" s="15" t="s">
        <v>26</v>
      </c>
      <c r="F11" s="43"/>
      <c r="G11" s="43"/>
      <c r="H11" s="43"/>
      <c r="I11" s="43"/>
      <c r="J11" s="43"/>
      <c r="K11" s="43"/>
      <c r="L11" s="43"/>
    </row>
    <row r="12" spans="1:15" ht="15" customHeight="1" x14ac:dyDescent="0.3">
      <c r="A12" s="12">
        <v>8</v>
      </c>
      <c r="B12" s="13" t="s">
        <v>30</v>
      </c>
      <c r="C12" s="14" t="s">
        <v>31</v>
      </c>
      <c r="D12" s="15" t="s">
        <v>26</v>
      </c>
      <c r="F12" s="43"/>
      <c r="G12" s="43"/>
      <c r="H12" s="43"/>
      <c r="I12" s="43"/>
      <c r="J12" s="43"/>
      <c r="K12" s="43"/>
      <c r="L12" s="43"/>
    </row>
    <row r="13" spans="1:15" ht="15" customHeight="1" x14ac:dyDescent="0.3">
      <c r="A13" s="12">
        <v>9</v>
      </c>
      <c r="B13" s="13" t="s">
        <v>32</v>
      </c>
      <c r="C13" s="14" t="s">
        <v>33</v>
      </c>
      <c r="D13" s="15" t="s">
        <v>26</v>
      </c>
      <c r="F13" s="18" t="s">
        <v>4</v>
      </c>
      <c r="G13" s="19" t="s">
        <v>5</v>
      </c>
      <c r="H13" s="20" t="s">
        <v>6</v>
      </c>
      <c r="I13" s="5" t="s">
        <v>7</v>
      </c>
      <c r="J13" s="5"/>
      <c r="K13" s="4" t="s">
        <v>34</v>
      </c>
      <c r="L13" s="4"/>
    </row>
    <row r="14" spans="1:15" ht="15" customHeight="1" x14ac:dyDescent="0.3">
      <c r="A14" s="12">
        <v>10</v>
      </c>
      <c r="B14" s="13" t="s">
        <v>35</v>
      </c>
      <c r="C14" s="14" t="s">
        <v>36</v>
      </c>
      <c r="D14" s="15" t="s">
        <v>26</v>
      </c>
      <c r="F14" s="21">
        <v>1</v>
      </c>
      <c r="G14" s="22" t="s">
        <v>9</v>
      </c>
      <c r="H14" s="23" t="s">
        <v>10</v>
      </c>
      <c r="I14" s="3" t="s">
        <v>11</v>
      </c>
      <c r="J14" s="3"/>
      <c r="K14" s="2" t="s">
        <v>23</v>
      </c>
      <c r="L14" s="2"/>
    </row>
    <row r="15" spans="1:15" ht="15" customHeight="1" x14ac:dyDescent="0.3">
      <c r="F15" s="21">
        <v>2</v>
      </c>
      <c r="G15" s="22" t="s">
        <v>12</v>
      </c>
      <c r="H15" s="23" t="s">
        <v>13</v>
      </c>
      <c r="I15" s="3" t="s">
        <v>11</v>
      </c>
      <c r="J15" s="3"/>
      <c r="K15" s="2" t="s">
        <v>23</v>
      </c>
      <c r="L15" s="2"/>
    </row>
    <row r="16" spans="1:15" ht="15" customHeight="1" x14ac:dyDescent="0.3">
      <c r="A16" s="4" t="s">
        <v>37</v>
      </c>
      <c r="B16" s="4"/>
      <c r="C16" s="4" t="s">
        <v>7</v>
      </c>
      <c r="D16" s="4"/>
      <c r="F16" s="21">
        <v>3</v>
      </c>
      <c r="G16" s="22" t="s">
        <v>14</v>
      </c>
      <c r="H16" s="23" t="s">
        <v>15</v>
      </c>
      <c r="I16" s="3" t="s">
        <v>11</v>
      </c>
      <c r="J16" s="3"/>
      <c r="K16" s="2" t="s">
        <v>23</v>
      </c>
      <c r="L16" s="2"/>
    </row>
    <row r="17" spans="1:12" ht="15" customHeight="1" x14ac:dyDescent="0.3">
      <c r="A17" s="1" t="s">
        <v>38</v>
      </c>
      <c r="B17" s="1"/>
      <c r="C17" s="1" t="s">
        <v>39</v>
      </c>
      <c r="D17" s="1"/>
      <c r="F17" s="21">
        <v>4</v>
      </c>
      <c r="G17" s="22" t="s">
        <v>16</v>
      </c>
      <c r="H17" s="23" t="s">
        <v>17</v>
      </c>
      <c r="I17" s="3" t="s">
        <v>11</v>
      </c>
      <c r="J17" s="3"/>
      <c r="K17" s="2" t="s">
        <v>23</v>
      </c>
      <c r="L17" s="2"/>
    </row>
    <row r="18" spans="1:12" ht="15" customHeight="1" x14ac:dyDescent="0.3">
      <c r="A18" s="1" t="s">
        <v>40</v>
      </c>
      <c r="B18" s="1"/>
      <c r="C18" s="1" t="s">
        <v>41</v>
      </c>
      <c r="D18" s="1"/>
      <c r="F18" s="21">
        <v>5</v>
      </c>
      <c r="G18" s="22" t="s">
        <v>20</v>
      </c>
      <c r="H18" s="23" t="s">
        <v>21</v>
      </c>
      <c r="I18" s="3" t="s">
        <v>11</v>
      </c>
      <c r="J18" s="3"/>
      <c r="K18" s="2" t="s">
        <v>23</v>
      </c>
      <c r="L18" s="2"/>
    </row>
    <row r="19" spans="1:12" ht="15" customHeight="1" x14ac:dyDescent="0.3">
      <c r="F19" s="21">
        <v>6</v>
      </c>
      <c r="G19" s="22" t="s">
        <v>24</v>
      </c>
      <c r="H19" s="23" t="s">
        <v>25</v>
      </c>
      <c r="I19" s="3" t="s">
        <v>26</v>
      </c>
      <c r="J19" s="3"/>
      <c r="K19" s="2" t="s">
        <v>27</v>
      </c>
      <c r="L19" s="2"/>
    </row>
    <row r="20" spans="1:12" ht="15" customHeight="1" x14ac:dyDescent="0.3">
      <c r="A20" s="52" t="s">
        <v>69</v>
      </c>
      <c r="B20" s="53"/>
      <c r="C20" s="53"/>
      <c r="D20" s="53"/>
      <c r="F20" s="21">
        <v>7</v>
      </c>
      <c r="G20" s="22" t="s">
        <v>28</v>
      </c>
      <c r="H20" s="23" t="s">
        <v>29</v>
      </c>
      <c r="I20" s="3" t="s">
        <v>26</v>
      </c>
      <c r="J20" s="3"/>
      <c r="K20" s="2" t="s">
        <v>27</v>
      </c>
      <c r="L20" s="2"/>
    </row>
    <row r="21" spans="1:12" ht="15" customHeight="1" x14ac:dyDescent="0.3">
      <c r="A21" s="53"/>
      <c r="B21" s="53"/>
      <c r="C21" s="53"/>
      <c r="D21" s="53"/>
      <c r="F21" s="21">
        <v>8</v>
      </c>
      <c r="G21" s="22" t="s">
        <v>30</v>
      </c>
      <c r="H21" s="23" t="s">
        <v>31</v>
      </c>
      <c r="I21" s="3" t="s">
        <v>26</v>
      </c>
      <c r="J21" s="3"/>
      <c r="K21" s="2" t="s">
        <v>27</v>
      </c>
      <c r="L21" s="2"/>
    </row>
    <row r="22" spans="1:12" ht="15" customHeight="1" x14ac:dyDescent="0.3">
      <c r="A22" s="53"/>
      <c r="B22" s="53"/>
      <c r="C22" s="53"/>
      <c r="D22" s="53"/>
      <c r="F22" s="21">
        <v>9</v>
      </c>
      <c r="G22" s="22" t="s">
        <v>32</v>
      </c>
      <c r="H22" s="23" t="s">
        <v>33</v>
      </c>
      <c r="I22" s="3" t="s">
        <v>26</v>
      </c>
      <c r="J22" s="3"/>
      <c r="K22" s="2" t="s">
        <v>27</v>
      </c>
      <c r="L22" s="2"/>
    </row>
    <row r="23" spans="1:12" ht="15" customHeight="1" x14ac:dyDescent="0.3">
      <c r="F23" s="21">
        <v>10</v>
      </c>
      <c r="G23" s="22" t="s">
        <v>35</v>
      </c>
      <c r="H23" s="23" t="s">
        <v>36</v>
      </c>
      <c r="I23" s="3" t="s">
        <v>26</v>
      </c>
      <c r="J23" s="3"/>
      <c r="K23" s="2" t="s">
        <v>27</v>
      </c>
      <c r="L23" s="2"/>
    </row>
    <row r="24" spans="1:12" ht="15" customHeight="1" x14ac:dyDescent="0.3">
      <c r="F24" s="44" t="s">
        <v>42</v>
      </c>
      <c r="G24" s="44"/>
      <c r="H24" s="44"/>
      <c r="I24" s="44"/>
      <c r="J24" s="44"/>
      <c r="K24" s="44"/>
      <c r="L24" s="44"/>
    </row>
    <row r="25" spans="1:12" ht="15" customHeight="1" x14ac:dyDescent="0.3">
      <c r="F25" s="18" t="s">
        <v>4</v>
      </c>
      <c r="G25" s="19" t="s">
        <v>5</v>
      </c>
      <c r="H25" s="20" t="s">
        <v>6</v>
      </c>
      <c r="I25" s="24" t="s">
        <v>43</v>
      </c>
      <c r="J25" s="18" t="s">
        <v>44</v>
      </c>
      <c r="K25" s="4" t="s">
        <v>34</v>
      </c>
      <c r="L25" s="4"/>
    </row>
    <row r="26" spans="1:12" ht="15" customHeight="1" x14ac:dyDescent="0.3">
      <c r="F26" s="21">
        <v>1</v>
      </c>
      <c r="G26" s="23">
        <v>250</v>
      </c>
      <c r="H26" s="23">
        <v>72</v>
      </c>
      <c r="I26" s="25">
        <f t="shared" ref="I26:I35" si="0">SQRT((G26-$N$9)^2 + (H26-$O$9)^2)</f>
        <v>0</v>
      </c>
      <c r="J26" s="26">
        <f t="shared" ref="J26:J35" si="1">SQRT((G26-$N$10)^2+((H26-$O$10)^2))</f>
        <v>261.8854711510358</v>
      </c>
      <c r="K26" s="2" t="s">
        <v>23</v>
      </c>
      <c r="L26" s="2"/>
    </row>
    <row r="27" spans="1:12" ht="15" customHeight="1" x14ac:dyDescent="0.3">
      <c r="F27" s="21">
        <v>2</v>
      </c>
      <c r="G27" s="23">
        <v>300</v>
      </c>
      <c r="H27" s="23">
        <v>90</v>
      </c>
      <c r="I27" s="25">
        <f t="shared" si="0"/>
        <v>53.141321022345693</v>
      </c>
      <c r="J27" s="26">
        <f t="shared" si="1"/>
        <v>208.80613017821099</v>
      </c>
      <c r="K27" s="2" t="s">
        <v>23</v>
      </c>
      <c r="L27" s="2"/>
    </row>
    <row r="28" spans="1:12" ht="15" customHeight="1" x14ac:dyDescent="0.3">
      <c r="F28" s="21">
        <v>3</v>
      </c>
      <c r="G28" s="23">
        <v>320</v>
      </c>
      <c r="H28" s="23">
        <v>95</v>
      </c>
      <c r="I28" s="25">
        <f t="shared" si="0"/>
        <v>73.681748079154588</v>
      </c>
      <c r="J28" s="26">
        <f t="shared" si="1"/>
        <v>188.21530224718711</v>
      </c>
      <c r="K28" s="2" t="s">
        <v>23</v>
      </c>
      <c r="L28" s="2"/>
    </row>
    <row r="29" spans="1:12" ht="15" customHeight="1" x14ac:dyDescent="0.3">
      <c r="F29" s="21">
        <v>4</v>
      </c>
      <c r="G29" s="23">
        <v>280</v>
      </c>
      <c r="H29" s="23">
        <v>80</v>
      </c>
      <c r="I29" s="25">
        <f t="shared" si="0"/>
        <v>31.048349392520048</v>
      </c>
      <c r="J29" s="26">
        <f t="shared" si="1"/>
        <v>230.8679276123039</v>
      </c>
      <c r="K29" s="2" t="s">
        <v>23</v>
      </c>
      <c r="L29" s="2"/>
    </row>
    <row r="30" spans="1:12" ht="15" customHeight="1" x14ac:dyDescent="0.3">
      <c r="F30" s="21">
        <v>5</v>
      </c>
      <c r="G30" s="23">
        <v>260</v>
      </c>
      <c r="H30" s="23">
        <v>75</v>
      </c>
      <c r="I30" s="25">
        <f t="shared" si="0"/>
        <v>10.440306508910551</v>
      </c>
      <c r="J30" s="26">
        <f t="shared" si="1"/>
        <v>251.44581921360316</v>
      </c>
      <c r="K30" s="2" t="s">
        <v>23</v>
      </c>
      <c r="L30" s="2"/>
    </row>
    <row r="31" spans="1:12" ht="15" customHeight="1" x14ac:dyDescent="0.3">
      <c r="F31" s="21">
        <v>6</v>
      </c>
      <c r="G31" s="23">
        <v>500</v>
      </c>
      <c r="H31" s="23">
        <v>150</v>
      </c>
      <c r="I31" s="25">
        <f t="shared" si="0"/>
        <v>261.8854711510358</v>
      </c>
      <c r="J31" s="26">
        <f t="shared" si="1"/>
        <v>0</v>
      </c>
      <c r="K31" s="2" t="s">
        <v>27</v>
      </c>
      <c r="L31" s="2"/>
    </row>
    <row r="32" spans="1:12" ht="15" customHeight="1" x14ac:dyDescent="0.3">
      <c r="F32" s="21">
        <v>7</v>
      </c>
      <c r="G32" s="23">
        <v>550</v>
      </c>
      <c r="H32" s="23">
        <v>160</v>
      </c>
      <c r="I32" s="25">
        <f t="shared" si="0"/>
        <v>312.64036847470612</v>
      </c>
      <c r="J32" s="26">
        <f t="shared" si="1"/>
        <v>50.990195135927848</v>
      </c>
      <c r="K32" s="2" t="s">
        <v>27</v>
      </c>
      <c r="L32" s="2"/>
    </row>
    <row r="33" spans="6:12" ht="15" customHeight="1" x14ac:dyDescent="0.3">
      <c r="F33" s="21">
        <v>8</v>
      </c>
      <c r="G33" s="23">
        <v>480</v>
      </c>
      <c r="H33" s="23">
        <v>145</v>
      </c>
      <c r="I33" s="25">
        <f t="shared" si="0"/>
        <v>241.306858584666</v>
      </c>
      <c r="J33" s="26">
        <f t="shared" si="1"/>
        <v>20.615528128088304</v>
      </c>
      <c r="K33" s="2" t="s">
        <v>27</v>
      </c>
      <c r="L33" s="2"/>
    </row>
    <row r="34" spans="6:12" ht="15" customHeight="1" x14ac:dyDescent="0.3">
      <c r="F34" s="21">
        <v>9</v>
      </c>
      <c r="G34" s="23">
        <v>520</v>
      </c>
      <c r="H34" s="23">
        <v>155</v>
      </c>
      <c r="I34" s="25">
        <f t="shared" si="0"/>
        <v>282.46946737656441</v>
      </c>
      <c r="J34" s="26">
        <f t="shared" si="1"/>
        <v>20.615528128088304</v>
      </c>
      <c r="K34" s="2" t="s">
        <v>27</v>
      </c>
      <c r="L34" s="2"/>
    </row>
    <row r="35" spans="6:12" ht="15" customHeight="1" x14ac:dyDescent="0.3">
      <c r="F35" s="21">
        <v>10</v>
      </c>
      <c r="G35" s="23">
        <v>490</v>
      </c>
      <c r="H35" s="23">
        <v>148</v>
      </c>
      <c r="I35" s="25">
        <f t="shared" si="0"/>
        <v>251.745903640953</v>
      </c>
      <c r="J35" s="26">
        <f t="shared" si="1"/>
        <v>10.198039027185569</v>
      </c>
      <c r="K35" s="2" t="s">
        <v>27</v>
      </c>
      <c r="L35" s="2"/>
    </row>
    <row r="36" spans="6:12" ht="15" customHeight="1" x14ac:dyDescent="0.3">
      <c r="F36" s="44" t="s">
        <v>45</v>
      </c>
      <c r="G36" s="44"/>
      <c r="H36" s="44"/>
      <c r="I36" s="44"/>
      <c r="J36" s="44"/>
      <c r="K36" s="44"/>
      <c r="L36" s="44"/>
    </row>
    <row r="37" spans="6:12" ht="15" customHeight="1" x14ac:dyDescent="0.3">
      <c r="F37" s="45" t="s">
        <v>46</v>
      </c>
      <c r="G37" s="45"/>
      <c r="H37" s="45"/>
      <c r="I37" s="45"/>
    </row>
    <row r="38" spans="6:12" ht="15" customHeight="1" x14ac:dyDescent="0.3">
      <c r="F38" s="16" t="s">
        <v>47</v>
      </c>
      <c r="G38" s="16" t="s">
        <v>48</v>
      </c>
      <c r="H38" s="16" t="s">
        <v>49</v>
      </c>
      <c r="I38" s="16" t="s">
        <v>50</v>
      </c>
    </row>
    <row r="39" spans="6:12" ht="15" customHeight="1" x14ac:dyDescent="0.3">
      <c r="F39" s="21">
        <v>1</v>
      </c>
      <c r="G39" s="23">
        <v>250</v>
      </c>
      <c r="H39" s="23">
        <v>72</v>
      </c>
      <c r="I39" s="27" t="s">
        <v>51</v>
      </c>
    </row>
    <row r="40" spans="6:12" ht="15" customHeight="1" x14ac:dyDescent="0.3">
      <c r="F40" s="21">
        <v>2</v>
      </c>
      <c r="G40" s="23">
        <v>300</v>
      </c>
      <c r="H40" s="23">
        <v>90</v>
      </c>
      <c r="I40" s="27" t="s">
        <v>51</v>
      </c>
    </row>
    <row r="41" spans="6:12" ht="15" customHeight="1" x14ac:dyDescent="0.3">
      <c r="F41" s="21">
        <v>3</v>
      </c>
      <c r="G41" s="23">
        <v>320</v>
      </c>
      <c r="H41" s="23">
        <v>95</v>
      </c>
      <c r="I41" s="27" t="s">
        <v>51</v>
      </c>
    </row>
    <row r="42" spans="6:12" ht="15" customHeight="1" x14ac:dyDescent="0.3">
      <c r="F42" s="21">
        <v>4</v>
      </c>
      <c r="G42" s="23">
        <v>280</v>
      </c>
      <c r="H42" s="23">
        <v>80</v>
      </c>
      <c r="I42" s="27" t="s">
        <v>51</v>
      </c>
    </row>
    <row r="43" spans="6:12" ht="15" customHeight="1" x14ac:dyDescent="0.3">
      <c r="F43" s="21">
        <v>5</v>
      </c>
      <c r="G43" s="23">
        <v>260</v>
      </c>
      <c r="H43" s="23">
        <v>75</v>
      </c>
      <c r="I43" s="27" t="s">
        <v>51</v>
      </c>
    </row>
    <row r="44" spans="6:12" ht="15" customHeight="1" x14ac:dyDescent="0.3">
      <c r="F44" s="17" t="s">
        <v>52</v>
      </c>
      <c r="G44" s="28">
        <f>SUM(G39:G43)</f>
        <v>1410</v>
      </c>
      <c r="H44" s="28">
        <f>SUM(H39:H43)</f>
        <v>412</v>
      </c>
      <c r="I44" s="29"/>
    </row>
    <row r="45" spans="6:12" ht="15" customHeight="1" x14ac:dyDescent="0.3">
      <c r="F45" s="17" t="s">
        <v>53</v>
      </c>
      <c r="G45" s="16">
        <f>G44/5</f>
        <v>282</v>
      </c>
      <c r="H45" s="16">
        <f>H44/5</f>
        <v>82.4</v>
      </c>
      <c r="I45" s="29"/>
    </row>
    <row r="46" spans="6:12" ht="15" customHeight="1" x14ac:dyDescent="0.3">
      <c r="F46" s="4" t="s">
        <v>54</v>
      </c>
      <c r="G46" s="4"/>
      <c r="H46" s="4"/>
      <c r="I46" s="4"/>
    </row>
    <row r="47" spans="6:12" ht="15" customHeight="1" x14ac:dyDescent="0.3">
      <c r="F47" s="16" t="s">
        <v>47</v>
      </c>
      <c r="G47" s="16" t="s">
        <v>48</v>
      </c>
      <c r="H47" s="16" t="s">
        <v>49</v>
      </c>
      <c r="I47" s="16" t="s">
        <v>50</v>
      </c>
    </row>
    <row r="48" spans="6:12" ht="15" customHeight="1" x14ac:dyDescent="0.3">
      <c r="F48" s="21">
        <v>1</v>
      </c>
      <c r="G48" s="23">
        <v>500</v>
      </c>
      <c r="H48" s="23">
        <v>150</v>
      </c>
      <c r="I48" s="27" t="s">
        <v>55</v>
      </c>
    </row>
    <row r="49" spans="6:15" ht="15" customHeight="1" x14ac:dyDescent="0.3">
      <c r="F49" s="21">
        <v>2</v>
      </c>
      <c r="G49" s="23">
        <v>550</v>
      </c>
      <c r="H49" s="23">
        <v>160</v>
      </c>
      <c r="I49" s="27" t="s">
        <v>55</v>
      </c>
    </row>
    <row r="50" spans="6:15" ht="15" customHeight="1" x14ac:dyDescent="0.3">
      <c r="F50" s="21">
        <v>3</v>
      </c>
      <c r="G50" s="23">
        <v>480</v>
      </c>
      <c r="H50" s="23">
        <v>145</v>
      </c>
      <c r="I50" s="27" t="s">
        <v>55</v>
      </c>
    </row>
    <row r="51" spans="6:15" ht="15" customHeight="1" x14ac:dyDescent="0.3">
      <c r="F51" s="21">
        <v>4</v>
      </c>
      <c r="G51" s="23">
        <v>520</v>
      </c>
      <c r="H51" s="23">
        <v>155</v>
      </c>
      <c r="I51" s="27" t="s">
        <v>55</v>
      </c>
    </row>
    <row r="52" spans="6:15" ht="15" customHeight="1" x14ac:dyDescent="0.3">
      <c r="F52" s="21">
        <v>5</v>
      </c>
      <c r="G52" s="23">
        <v>490</v>
      </c>
      <c r="H52" s="23">
        <v>148</v>
      </c>
      <c r="I52" s="27" t="s">
        <v>55</v>
      </c>
    </row>
    <row r="53" spans="6:15" ht="15" customHeight="1" x14ac:dyDescent="0.3">
      <c r="F53" s="17" t="s">
        <v>52</v>
      </c>
      <c r="G53" s="30">
        <f>SUM(G48:G52)</f>
        <v>2540</v>
      </c>
      <c r="H53" s="30">
        <f>SUM(H48:H52)</f>
        <v>758</v>
      </c>
      <c r="I53" s="17"/>
    </row>
    <row r="54" spans="6:15" ht="15" customHeight="1" x14ac:dyDescent="0.3">
      <c r="F54" s="46" t="s">
        <v>53</v>
      </c>
      <c r="G54" s="46">
        <f>G53/5</f>
        <v>508</v>
      </c>
      <c r="H54" s="46">
        <f>H53/5</f>
        <v>151.6</v>
      </c>
      <c r="I54" s="46"/>
    </row>
    <row r="55" spans="6:15" ht="15" customHeight="1" x14ac:dyDescent="0.3">
      <c r="F55" s="47" t="s">
        <v>56</v>
      </c>
      <c r="G55" s="47"/>
      <c r="H55" s="47"/>
      <c r="I55" s="47"/>
      <c r="J55" s="47"/>
      <c r="K55" s="47"/>
      <c r="L55" s="47"/>
      <c r="M55" s="36" t="s">
        <v>57</v>
      </c>
      <c r="N55" s="36"/>
      <c r="O55" s="36"/>
    </row>
    <row r="56" spans="6:15" ht="15" customHeight="1" x14ac:dyDescent="0.3">
      <c r="F56" s="18" t="s">
        <v>4</v>
      </c>
      <c r="G56" s="19" t="s">
        <v>5</v>
      </c>
      <c r="H56" s="20" t="s">
        <v>6</v>
      </c>
      <c r="I56" s="24" t="s">
        <v>43</v>
      </c>
      <c r="J56" s="18" t="s">
        <v>44</v>
      </c>
      <c r="K56" s="4" t="s">
        <v>34</v>
      </c>
      <c r="L56" s="4"/>
      <c r="M56" s="32" t="s">
        <v>23</v>
      </c>
      <c r="N56" s="32">
        <v>282</v>
      </c>
      <c r="O56" s="32">
        <v>82.4</v>
      </c>
    </row>
    <row r="57" spans="6:15" ht="15" customHeight="1" x14ac:dyDescent="0.3">
      <c r="F57" s="21">
        <v>1</v>
      </c>
      <c r="G57" s="23">
        <v>250</v>
      </c>
      <c r="H57" s="23">
        <v>72</v>
      </c>
      <c r="I57" s="25">
        <f t="shared" ref="I57:I66" si="2">SQRT((G57-$N$56)^2 + (H57-$O$56)^2)</f>
        <v>33.647585351700947</v>
      </c>
      <c r="J57" s="26">
        <f t="shared" ref="J57:J66" si="3">SQRT((G57-$N$57)^2+((H57-$O$57)^2))</f>
        <v>270.00029629613374</v>
      </c>
      <c r="K57" s="2" t="s">
        <v>23</v>
      </c>
      <c r="L57" s="2"/>
      <c r="M57" s="32" t="s">
        <v>27</v>
      </c>
      <c r="N57" s="32">
        <v>508</v>
      </c>
      <c r="O57" s="32">
        <v>151.6</v>
      </c>
    </row>
    <row r="58" spans="6:15" ht="15" customHeight="1" x14ac:dyDescent="0.3">
      <c r="F58" s="21">
        <v>2</v>
      </c>
      <c r="G58" s="23">
        <v>300</v>
      </c>
      <c r="H58" s="23">
        <v>90</v>
      </c>
      <c r="I58" s="25">
        <f t="shared" si="2"/>
        <v>19.538679586911698</v>
      </c>
      <c r="J58" s="26">
        <f t="shared" si="3"/>
        <v>216.9298504125239</v>
      </c>
      <c r="K58" s="2" t="s">
        <v>23</v>
      </c>
      <c r="L58" s="2"/>
    </row>
    <row r="59" spans="6:15" ht="15" customHeight="1" x14ac:dyDescent="0.3">
      <c r="F59" s="21">
        <v>3</v>
      </c>
      <c r="G59" s="23">
        <v>320</v>
      </c>
      <c r="H59" s="23">
        <v>95</v>
      </c>
      <c r="I59" s="25">
        <f t="shared" si="2"/>
        <v>40.034485134693561</v>
      </c>
      <c r="J59" s="26">
        <f t="shared" si="3"/>
        <v>196.33532540019382</v>
      </c>
      <c r="K59" s="2" t="s">
        <v>23</v>
      </c>
      <c r="L59" s="2"/>
    </row>
    <row r="60" spans="6:15" ht="15" customHeight="1" x14ac:dyDescent="0.3">
      <c r="F60" s="21">
        <v>4</v>
      </c>
      <c r="G60" s="23">
        <v>280</v>
      </c>
      <c r="H60" s="23">
        <v>80</v>
      </c>
      <c r="I60" s="25">
        <f t="shared" si="2"/>
        <v>3.1240998703626661</v>
      </c>
      <c r="J60" s="26">
        <f t="shared" si="3"/>
        <v>238.97815799775509</v>
      </c>
      <c r="K60" s="2" t="s">
        <v>23</v>
      </c>
      <c r="L60" s="2"/>
    </row>
    <row r="61" spans="6:15" ht="15" customHeight="1" x14ac:dyDescent="0.3">
      <c r="F61" s="21">
        <v>5</v>
      </c>
      <c r="G61" s="23">
        <v>260</v>
      </c>
      <c r="H61" s="23">
        <v>75</v>
      </c>
      <c r="I61" s="25">
        <f t="shared" si="2"/>
        <v>23.211204191079791</v>
      </c>
      <c r="J61" s="26">
        <f t="shared" si="3"/>
        <v>259.56032054225852</v>
      </c>
      <c r="K61" s="2" t="s">
        <v>23</v>
      </c>
      <c r="L61" s="2"/>
    </row>
    <row r="62" spans="6:15" ht="15" customHeight="1" x14ac:dyDescent="0.3">
      <c r="F62" s="21">
        <v>6</v>
      </c>
      <c r="G62" s="23">
        <v>500</v>
      </c>
      <c r="H62" s="23">
        <v>150</v>
      </c>
      <c r="I62" s="25">
        <f t="shared" si="2"/>
        <v>228.24057483278472</v>
      </c>
      <c r="J62" s="26">
        <f t="shared" si="3"/>
        <v>8.1584312217484545</v>
      </c>
      <c r="K62" s="2" t="s">
        <v>27</v>
      </c>
      <c r="L62" s="2"/>
    </row>
    <row r="63" spans="6:15" ht="15" customHeight="1" x14ac:dyDescent="0.3">
      <c r="F63" s="21">
        <v>7</v>
      </c>
      <c r="G63" s="23">
        <v>550</v>
      </c>
      <c r="H63" s="23">
        <v>160</v>
      </c>
      <c r="I63" s="25">
        <f t="shared" si="2"/>
        <v>279.0085303355437</v>
      </c>
      <c r="J63" s="26">
        <f t="shared" si="3"/>
        <v>42.831763914179398</v>
      </c>
      <c r="K63" s="2" t="s">
        <v>27</v>
      </c>
      <c r="L63" s="2"/>
    </row>
    <row r="64" spans="6:15" ht="15" customHeight="1" x14ac:dyDescent="0.3">
      <c r="F64" s="21">
        <v>8</v>
      </c>
      <c r="G64" s="23">
        <v>480</v>
      </c>
      <c r="H64" s="23">
        <v>145</v>
      </c>
      <c r="I64" s="25">
        <f t="shared" si="2"/>
        <v>207.66020321669725</v>
      </c>
      <c r="J64" s="26">
        <f t="shared" si="3"/>
        <v>28.767342595380615</v>
      </c>
      <c r="K64" s="2" t="s">
        <v>27</v>
      </c>
      <c r="L64" s="2"/>
    </row>
    <row r="65" spans="6:15" ht="15" customHeight="1" x14ac:dyDescent="0.3">
      <c r="F65" s="21">
        <v>9</v>
      </c>
      <c r="G65" s="23">
        <v>520</v>
      </c>
      <c r="H65" s="23">
        <v>155</v>
      </c>
      <c r="I65" s="25">
        <f t="shared" si="2"/>
        <v>248.82676704888485</v>
      </c>
      <c r="J65" s="26">
        <f t="shared" si="3"/>
        <v>12.472369462135093</v>
      </c>
      <c r="K65" s="2" t="s">
        <v>27</v>
      </c>
      <c r="L65" s="2"/>
    </row>
    <row r="66" spans="6:15" ht="15" customHeight="1" x14ac:dyDescent="0.3">
      <c r="F66" s="21">
        <v>10</v>
      </c>
      <c r="G66" s="23">
        <v>490</v>
      </c>
      <c r="H66" s="23">
        <v>148</v>
      </c>
      <c r="I66" s="25">
        <f t="shared" si="2"/>
        <v>218.09942686765595</v>
      </c>
      <c r="J66" s="26">
        <f t="shared" si="3"/>
        <v>18.356470248934023</v>
      </c>
      <c r="K66" s="2" t="s">
        <v>27</v>
      </c>
      <c r="L66" s="2"/>
    </row>
    <row r="67" spans="6:15" ht="15" customHeight="1" x14ac:dyDescent="0.3">
      <c r="F67" s="47" t="s">
        <v>58</v>
      </c>
      <c r="G67" s="47"/>
      <c r="H67" s="47"/>
      <c r="I67" s="47"/>
      <c r="J67" s="47"/>
      <c r="K67" s="47"/>
      <c r="L67" s="47"/>
      <c r="N67" s="37" t="s">
        <v>59</v>
      </c>
      <c r="O67" s="37"/>
    </row>
    <row r="68" spans="6:15" ht="15" customHeight="1" x14ac:dyDescent="0.3">
      <c r="F68" s="38" t="s">
        <v>60</v>
      </c>
      <c r="G68" s="38"/>
      <c r="H68" s="38"/>
      <c r="I68" s="38"/>
      <c r="J68" s="38"/>
      <c r="K68" s="38"/>
      <c r="L68" s="38"/>
      <c r="N68" s="34" t="s">
        <v>61</v>
      </c>
      <c r="O68" s="34" t="s">
        <v>62</v>
      </c>
    </row>
    <row r="69" spans="6:15" ht="30.75" customHeight="1" x14ac:dyDescent="0.3">
      <c r="F69" s="33" t="s">
        <v>4</v>
      </c>
      <c r="G69" s="35" t="s">
        <v>34</v>
      </c>
      <c r="H69" s="35" t="s">
        <v>63</v>
      </c>
      <c r="I69" s="35" t="s">
        <v>64</v>
      </c>
      <c r="J69" s="35" t="s">
        <v>65</v>
      </c>
      <c r="K69" s="35" t="s">
        <v>66</v>
      </c>
      <c r="L69" s="35" t="s">
        <v>67</v>
      </c>
      <c r="N69" s="34">
        <f t="shared" ref="N69:N78" si="4">MIN(I26,J26)</f>
        <v>0</v>
      </c>
      <c r="O69" s="34">
        <f t="shared" ref="O69:O78" si="5">MIN(I57,J57)</f>
        <v>33.647585351700947</v>
      </c>
    </row>
    <row r="70" spans="6:15" ht="15" customHeight="1" x14ac:dyDescent="0.3">
      <c r="F70" s="31">
        <v>1</v>
      </c>
      <c r="G70" s="16" t="s">
        <v>23</v>
      </c>
      <c r="H70" s="48">
        <f>(SQRT((G57-G58)^2+(H57-H58)^2) + SQRT((G57-G59)^2+(H57-H59)^2) + SQRT((G57-G60)^2+(H57-H60)^2) + SQRT((G57-G61)^2+(H57-H61)^2))/4</f>
        <v>42.077931250732718</v>
      </c>
      <c r="I70" s="48">
        <f>(SQRT((G57-G62)^2+(H57-H62)^2) + SQRT((G57-G63)^2+(H57-H63)^2) + SQRT((G57-G64)^2+(H57-H64)^2) + SQRT((G57-G65)^2+(H57-H65)^2) + SQRT((G57-G66)^2+(H57-H66)^2))/5</f>
        <v>270.00961384558502</v>
      </c>
      <c r="J70" s="48">
        <f t="shared" ref="J70:J79" si="6">(I70-H70)/MAX(H70,I70)</f>
        <v>0.84416135910332235</v>
      </c>
      <c r="K70" s="48" t="str">
        <f>IF(J70&gt;=0.7,"Strong",IF(J70&gt;=0.5,"Reasonable",IF(J70&gt;=0.25,"Weak","No Structure")))</f>
        <v>Strong</v>
      </c>
      <c r="L70" s="48" t="str">
        <f t="shared" ref="L70:L79" si="7">IF(J70&gt;=0.7,"Cluster sangat baik",IF(J70&gt;=0.5,"Cluster cukup baik",IF(J70&gt;=0.25,"Cluster lemah","Cluster tidak valid")))</f>
        <v>Cluster sangat baik</v>
      </c>
      <c r="N70" s="34">
        <f t="shared" si="4"/>
        <v>53.141321022345693</v>
      </c>
      <c r="O70" s="34">
        <f t="shared" si="5"/>
        <v>19.538679586911698</v>
      </c>
    </row>
    <row r="71" spans="6:15" ht="15" customHeight="1" x14ac:dyDescent="0.3">
      <c r="F71" s="31">
        <v>2</v>
      </c>
      <c r="G71" s="16" t="s">
        <v>23</v>
      </c>
      <c r="H71" s="48">
        <f>(SQRT((G58-G57)^2+(H58-H57)^2) + SQRT((G58-G59)^2+(H58-H59)^2) + SQRT((G58-G60)^2+(H58-H60)^2) + SQRT((G58-G61)^2+(H58-H61)^2))/4</f>
        <v>34.709386913004884</v>
      </c>
      <c r="I71" s="48">
        <f>(SQRT((G58-G62)^2+(H58-H62)^2) + SQRT((G58-G63)^2+(H58-H63)^2) + SQRT((G58-G64)^2+(H58-H64)^2) + SQRT((G58-G65)^2+(H58-H65)^2) + SQRT((G58-G66)^2+(H58-H66)^2))/5</f>
        <v>216.93868154977099</v>
      </c>
      <c r="J71" s="48">
        <f t="shared" si="6"/>
        <v>0.84000369751928394</v>
      </c>
      <c r="K71" s="48" t="str">
        <f t="shared" ref="K70:K80" si="8">IF(J71&gt;=0.7,"Strong",IF(J71&gt;=0.5,"Reasonable",IF(J71&gt;=0.25,"Weak","No Structure")))</f>
        <v>Strong</v>
      </c>
      <c r="L71" s="48" t="str">
        <f t="shared" si="7"/>
        <v>Cluster sangat baik</v>
      </c>
      <c r="N71" s="34">
        <f t="shared" si="4"/>
        <v>73.681748079154588</v>
      </c>
      <c r="O71" s="34">
        <f t="shared" si="5"/>
        <v>40.034485134693561</v>
      </c>
    </row>
    <row r="72" spans="6:15" ht="15" customHeight="1" x14ac:dyDescent="0.3">
      <c r="F72" s="31">
        <v>3</v>
      </c>
      <c r="G72" s="16" t="s">
        <v>23</v>
      </c>
      <c r="H72" s="48">
        <f>(SQRT((G59-G57)^2+(H59-H57)^2) + SQRT((G59-G58)^2+(H59-H58)^2) + SQRT((G59-G60)^2+(H59-H60)^2) + SQRT((G59-G61)^2+(H59-H61)^2))/4</f>
        <v>50.065712034299537</v>
      </c>
      <c r="I72" s="48">
        <f>(SQRT((G59-G62)^2+(H59-H62)^2) + SQRT((G59-G63)^2+(H59-H63)^2) + SQRT((G59-G64)^2+(H59-H64)^2) + SQRT((G59-G65)^2+(H59-H65)^2) + SQRT((G59-G66)^2+(H59-H66)^2))/5</f>
        <v>196.34611149882932</v>
      </c>
      <c r="J72" s="48">
        <f t="shared" si="6"/>
        <v>0.74501296892453073</v>
      </c>
      <c r="K72" s="48" t="str">
        <f t="shared" si="8"/>
        <v>Strong</v>
      </c>
      <c r="L72" s="48" t="str">
        <f t="shared" si="7"/>
        <v>Cluster sangat baik</v>
      </c>
      <c r="N72" s="34">
        <f t="shared" si="4"/>
        <v>31.048349392520048</v>
      </c>
      <c r="O72" s="34">
        <f t="shared" si="5"/>
        <v>3.1240998703626661</v>
      </c>
    </row>
    <row r="73" spans="6:15" ht="15" customHeight="1" x14ac:dyDescent="0.3">
      <c r="F73" s="31">
        <v>4</v>
      </c>
      <c r="G73" s="16" t="s">
        <v>23</v>
      </c>
      <c r="H73" s="48">
        <f>(SQRT((G60-G57)^2+(H60-H57)^2) + SQRT((G60-G58)^2+(H60-H58)^2) + SQRT((G60-G59)^2+(H60-H59)^2) + SQRT((G60-G61)^2+(H60-H61)^2))/4</f>
        <v>29.186144005548474</v>
      </c>
      <c r="I73" s="48">
        <f>(SQRT((G60-G62)^2+(H60-H62)^2) + SQRT((G60-G63)^2+(H60-H63)^2) + SQRT((G60-G64)^2+(H60-H64)^2) + SQRT((G60-G65)^2+(H60-H65)^2) + SQRT((G60-G66)^2+(H60-H66)^2))/5</f>
        <v>238.98976949609695</v>
      </c>
      <c r="J73" s="48">
        <f t="shared" si="6"/>
        <v>0.8778770151245946</v>
      </c>
      <c r="K73" s="48" t="str">
        <f t="shared" si="8"/>
        <v>Strong</v>
      </c>
      <c r="L73" s="48" t="str">
        <f t="shared" si="7"/>
        <v>Cluster sangat baik</v>
      </c>
      <c r="N73" s="34">
        <f t="shared" si="4"/>
        <v>10.440306508910551</v>
      </c>
      <c r="O73" s="34">
        <f t="shared" si="5"/>
        <v>23.211204191079791</v>
      </c>
    </row>
    <row r="74" spans="6:15" ht="15" customHeight="1" x14ac:dyDescent="0.3">
      <c r="F74" s="31">
        <v>5</v>
      </c>
      <c r="G74" s="16" t="s">
        <v>23</v>
      </c>
      <c r="H74" s="48">
        <f>(SQRT((G61-G57)^2+(H61-H57)^2) + SQRT((G61-G58)^2+(H61-H58)^2) + SQRT((G61-G59)^2+(H61-H59)^2) + SQRT((G61-G60)^2+(H61-H60)^2))/4</f>
        <v>34.255351641738521</v>
      </c>
      <c r="I74" s="48">
        <f>(SQRT((G61-G62)^2+(H61-H62)^2) + SQRT((G61-G63)^2+(H61-H63)^2) + SQRT((G61-G64)^2+(H61-H64)^2) + SQRT((G61-G65)^2+(H61-H65)^2) + SQRT((G61-G66)^2+(H61-H66)^2))/5</f>
        <v>259.57005606210271</v>
      </c>
      <c r="J74" s="48">
        <f t="shared" si="6"/>
        <v>0.86803041860289598</v>
      </c>
      <c r="K74" s="48" t="str">
        <f t="shared" si="8"/>
        <v>Strong</v>
      </c>
      <c r="L74" s="48" t="str">
        <f t="shared" si="7"/>
        <v>Cluster sangat baik</v>
      </c>
      <c r="N74" s="34">
        <f t="shared" si="4"/>
        <v>0</v>
      </c>
      <c r="O74" s="34">
        <f t="shared" si="5"/>
        <v>8.1584312217484545</v>
      </c>
    </row>
    <row r="75" spans="6:15" ht="15" customHeight="1" x14ac:dyDescent="0.3">
      <c r="F75" s="31">
        <v>6</v>
      </c>
      <c r="G75" s="16" t="s">
        <v>27</v>
      </c>
      <c r="H75" s="48">
        <f>(SQRT((G62-G63)^2+(H62-H63)^2) + SQRT((G62-G64)^2+(H62-H64)^2) + SQRT((G62-G65)^2+(H62-H65)^2) + SQRT((G62-G66)^2+(H62-H66)^2))/4</f>
        <v>25.604822604822505</v>
      </c>
      <c r="I75" s="48">
        <f>(SQRT((G62-G57)^2+(H62-H57)^2) + SQRT((G62-G58)^2+(H62-H58)^2) + SQRT((G62-G59)^2+(H62-H59)^2) + SQRT((G62-G60)^2+(H62-H60)^2) + SQRT((G62-G61)^2+(H62-H61)^2))/5</f>
        <v>228.24413008046821</v>
      </c>
      <c r="J75" s="48">
        <f t="shared" si="6"/>
        <v>0.88781826461081192</v>
      </c>
      <c r="K75" s="48" t="str">
        <f t="shared" si="8"/>
        <v>Strong</v>
      </c>
      <c r="L75" s="48" t="str">
        <f t="shared" si="7"/>
        <v>Cluster sangat baik</v>
      </c>
      <c r="N75" s="34">
        <f t="shared" si="4"/>
        <v>50.990195135927848</v>
      </c>
      <c r="O75" s="34">
        <f t="shared" si="5"/>
        <v>42.831763914179398</v>
      </c>
    </row>
    <row r="76" spans="6:15" ht="15" customHeight="1" x14ac:dyDescent="0.3">
      <c r="F76" s="31">
        <v>7</v>
      </c>
      <c r="G76" s="16" t="s">
        <v>27</v>
      </c>
      <c r="H76" s="48">
        <f>(SQRT((G63-G62)^2+(H63-H62)^2) + SQRT((G63-G64)^2+(H63-H64)^2) + SQRT((G63-G65)^2+(H63-H65)^2) + SQRT((G63-G66)^2+(H63-H66)^2))/4</f>
        <v>53.545336816728536</v>
      </c>
      <c r="I76" s="48">
        <f>(SQRT((G63-G57)^2+(H63-H57)^2) + SQRT((G63-G58)^2+(H63-H58)^2) + SQRT((G63-G59)^2+(H63-H59)^2) + SQRT((G63-G60)^2+(H63-H60)^2) + SQRT((G63-G61)^2+(H63-H61)^2))/5</f>
        <v>279.0133315551596</v>
      </c>
      <c r="J76" s="48">
        <f t="shared" si="6"/>
        <v>0.80809040013149736</v>
      </c>
      <c r="K76" s="48" t="str">
        <f t="shared" si="8"/>
        <v>Strong</v>
      </c>
      <c r="L76" s="48" t="str">
        <f t="shared" si="7"/>
        <v>Cluster sangat baik</v>
      </c>
      <c r="N76" s="34">
        <f t="shared" si="4"/>
        <v>20.615528128088304</v>
      </c>
      <c r="O76" s="34">
        <f t="shared" si="5"/>
        <v>28.767342595380615</v>
      </c>
    </row>
    <row r="77" spans="6:15" ht="15" customHeight="1" x14ac:dyDescent="0.3">
      <c r="F77" s="31">
        <v>8</v>
      </c>
      <c r="G77" s="16" t="s">
        <v>27</v>
      </c>
      <c r="H77" s="48">
        <f>(SQRT((G64-G62)^2+(H64-H62)^2) + SQRT((G64-G63)^2+(H64-H63)^2) + SQRT((G64-G65)^2+(H64-H65)^2) + SQRT((G64-G66)^2+(H64-H66)^2))/4</f>
        <v>35.9689990523893</v>
      </c>
      <c r="I77" s="48">
        <f>(SQRT((G64-G57)^2+(H64-H57)^2) + SQRT((G64-G58)^2+(H64-H58)^2) + SQRT((G64-G59)^2+(H64-H59)^2) + SQRT((G64-G60)^2+(H64-H60)^2) + SQRT((G64-G61)^2+(H64-H61)^2))/5</f>
        <v>207.66360860693803</v>
      </c>
      <c r="J77" s="48">
        <f t="shared" si="6"/>
        <v>0.82679199647122192</v>
      </c>
      <c r="K77" s="48" t="str">
        <f t="shared" si="8"/>
        <v>Strong</v>
      </c>
      <c r="L77" s="48" t="str">
        <f t="shared" si="7"/>
        <v>Cluster sangat baik</v>
      </c>
      <c r="N77" s="34">
        <f t="shared" si="4"/>
        <v>20.615528128088304</v>
      </c>
      <c r="O77" s="34">
        <f t="shared" si="5"/>
        <v>12.472369462135093</v>
      </c>
    </row>
    <row r="78" spans="6:15" ht="15" customHeight="1" x14ac:dyDescent="0.3">
      <c r="F78" s="31">
        <v>9</v>
      </c>
      <c r="G78" s="16" t="s">
        <v>27</v>
      </c>
      <c r="H78" s="48">
        <f>(SQRT((G65-G62)^2+(H65-H62)^2) + SQRT((G65-G63)^2+(H65-H63)^2) + SQRT((G65-G64)^2+(H65-H64)^2) + SQRT((G65-G66)^2+(H65-H66)^2))/4</f>
        <v>30.766560159313681</v>
      </c>
      <c r="I78" s="48">
        <f>(SQRT((G65-G57)^2+(H65-H57)^2) + SQRT((G65-G58)^2+(H65-H58)^2) + SQRT((G65-G59)^2+(H65-H59)^2) + SQRT((G65-G60)^2+(H65-H60)^2) + SQRT((G65-G61)^2+(H65-H61)^2))/5</f>
        <v>248.83044437643534</v>
      </c>
      <c r="J78" s="48">
        <f t="shared" si="6"/>
        <v>0.87635532204905986</v>
      </c>
      <c r="K78" s="48" t="str">
        <f t="shared" si="8"/>
        <v>Strong</v>
      </c>
      <c r="L78" s="48" t="str">
        <f t="shared" si="7"/>
        <v>Cluster sangat baik</v>
      </c>
      <c r="N78" s="34">
        <f t="shared" si="4"/>
        <v>10.198039027185569</v>
      </c>
      <c r="O78" s="34">
        <f t="shared" si="5"/>
        <v>18.356470248934023</v>
      </c>
    </row>
    <row r="79" spans="6:15" ht="15" customHeight="1" x14ac:dyDescent="0.3">
      <c r="F79" s="31">
        <v>10</v>
      </c>
      <c r="G79" s="16" t="s">
        <v>27</v>
      </c>
      <c r="H79" s="48">
        <f>(SQRT((G66-G62)^2+(H66-H62)^2) + SQRT((G66-G63)^2+(H66-H63)^2) + SQRT((G66-G64)^2+(H66-H64)^2) + SQRT((G66-G65)^2+(H66-H65)^2))/4</f>
        <v>28.158105825177067</v>
      </c>
      <c r="I79" s="48">
        <f>(SQRT((G66-G57)^2+(H66-H57)^2) + SQRT((G66-G58)^2+(H66-H58)^2) + SQRT((G66-G59)^2+(H66-H59)^2) + SQRT((G66-G60)^2+(H66-H60)^2) + SQRT((G66-G61)^2+(H66-H61)^2))/5</f>
        <v>218.10271783338393</v>
      </c>
      <c r="J79" s="48">
        <f t="shared" si="6"/>
        <v>0.87089520889561767</v>
      </c>
      <c r="K79" s="48" t="str">
        <f t="shared" si="8"/>
        <v>Strong</v>
      </c>
      <c r="L79" s="48" t="str">
        <f t="shared" si="7"/>
        <v>Cluster sangat baik</v>
      </c>
    </row>
    <row r="80" spans="6:15" ht="15.6" x14ac:dyDescent="0.3">
      <c r="F80" s="49" t="s">
        <v>68</v>
      </c>
      <c r="G80" s="50"/>
      <c r="H80" s="50"/>
      <c r="I80" s="51"/>
      <c r="J80" s="48">
        <f>AVERAGE(J70:J79)</f>
        <v>0.84450366514328368</v>
      </c>
      <c r="K80" s="48" t="str">
        <f t="shared" si="8"/>
        <v>Strong</v>
      </c>
      <c r="L80" s="48" t="str">
        <f>IF(J80&gt;=0.7,"Clustering sangat baik",IF(J80&gt;=0.5,"Clustering cukup baik",IF(J80&gt;=0.25,"Clustering lemah","Clustering tidak valid")))</f>
        <v>Clustering sangat baik</v>
      </c>
    </row>
  </sheetData>
  <mergeCells count="69">
    <mergeCell ref="F80:I80"/>
    <mergeCell ref="A20:D22"/>
    <mergeCell ref="K65:L65"/>
    <mergeCell ref="K66:L66"/>
    <mergeCell ref="F67:L67"/>
    <mergeCell ref="N67:O67"/>
    <mergeCell ref="F68:L68"/>
    <mergeCell ref="K60:L60"/>
    <mergeCell ref="K61:L61"/>
    <mergeCell ref="K62:L62"/>
    <mergeCell ref="K63:L63"/>
    <mergeCell ref="K64:L64"/>
    <mergeCell ref="M55:O55"/>
    <mergeCell ref="K56:L56"/>
    <mergeCell ref="K57:L57"/>
    <mergeCell ref="K58:L58"/>
    <mergeCell ref="K59:L59"/>
    <mergeCell ref="K35:L35"/>
    <mergeCell ref="F36:L36"/>
    <mergeCell ref="F37:I37"/>
    <mergeCell ref="F46:I46"/>
    <mergeCell ref="F55:L55"/>
    <mergeCell ref="K30:L30"/>
    <mergeCell ref="K31:L31"/>
    <mergeCell ref="K32:L32"/>
    <mergeCell ref="K33:L33"/>
    <mergeCell ref="K34:L34"/>
    <mergeCell ref="K25:L25"/>
    <mergeCell ref="K26:L26"/>
    <mergeCell ref="K27:L27"/>
    <mergeCell ref="K28:L28"/>
    <mergeCell ref="K29:L29"/>
    <mergeCell ref="I22:J22"/>
    <mergeCell ref="K22:L22"/>
    <mergeCell ref="I23:J23"/>
    <mergeCell ref="K23:L23"/>
    <mergeCell ref="F24:L24"/>
    <mergeCell ref="I19:J19"/>
    <mergeCell ref="K19:L19"/>
    <mergeCell ref="I20:J20"/>
    <mergeCell ref="K20:L20"/>
    <mergeCell ref="I21:J21"/>
    <mergeCell ref="K21:L21"/>
    <mergeCell ref="A17:B17"/>
    <mergeCell ref="C17:D17"/>
    <mergeCell ref="I17:J17"/>
    <mergeCell ref="K17:L17"/>
    <mergeCell ref="A18:B18"/>
    <mergeCell ref="C18:D18"/>
    <mergeCell ref="I18:J18"/>
    <mergeCell ref="K18:L18"/>
    <mergeCell ref="I14:J14"/>
    <mergeCell ref="K14:L14"/>
    <mergeCell ref="I15:J15"/>
    <mergeCell ref="K15:L15"/>
    <mergeCell ref="A16:B16"/>
    <mergeCell ref="C16:D16"/>
    <mergeCell ref="I16:J16"/>
    <mergeCell ref="K16:L16"/>
    <mergeCell ref="F8:L8"/>
    <mergeCell ref="M8:O8"/>
    <mergeCell ref="F9:L12"/>
    <mergeCell ref="I13:J13"/>
    <mergeCell ref="K13:L13"/>
    <mergeCell ref="A2:D2"/>
    <mergeCell ref="F2:L2"/>
    <mergeCell ref="A3:D3"/>
    <mergeCell ref="F3:L3"/>
    <mergeCell ref="F4:L7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ADVAN</dc:creator>
  <dc:description/>
  <cp:lastModifiedBy>ADVAN</cp:lastModifiedBy>
  <cp:revision>0</cp:revision>
  <dcterms:created xsi:type="dcterms:W3CDTF">2026-04-28T02:10:42Z</dcterms:created>
  <dcterms:modified xsi:type="dcterms:W3CDTF">2026-04-28T04:52:06Z</dcterms:modified>
  <dc:language>en-US</dc:language>
</cp:coreProperties>
</file>